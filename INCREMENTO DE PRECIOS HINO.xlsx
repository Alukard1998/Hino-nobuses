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 &quot;$&quot;* #,##0.00_ ;_ &quot;$&quot;* \-#,##0.00_ ;_ &quot;$&quot;* &quot;-&quot;??_ ;_ @_ 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0999786370433668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15">
    <xf numFmtId="0" fontId="0" fillId="0" borderId="0" pivotButton="0" quotePrefix="0" xfId="0"/>
    <xf numFmtId="9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1"/>
    <xf numFmtId="9" fontId="0" fillId="0" borderId="1" applyAlignment="1" pivotButton="0" quotePrefix="0" xfId="2">
      <alignment horizontal="center"/>
    </xf>
    <xf numFmtId="0" fontId="0" fillId="3" borderId="1" pivotButton="0" quotePrefix="0" xfId="0"/>
    <xf numFmtId="164" fontId="0" fillId="3" borderId="1" pivotButton="0" quotePrefix="0" xfId="1"/>
    <xf numFmtId="9" fontId="0" fillId="3" borderId="1" applyAlignment="1" pivotButton="0" quotePrefix="0" xfId="2">
      <alignment horizontal="center"/>
    </xf>
    <xf numFmtId="164" fontId="0" fillId="0" borderId="1" pivotButton="0" quotePrefix="0" xfId="1"/>
    <xf numFmtId="9" fontId="3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5" pivotButton="0" quotePrefix="0" xfId="0"/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T20"/>
  <sheetViews>
    <sheetView showGridLines="0" tabSelected="1" workbookViewId="0">
      <selection activeCell="E13" sqref="E13"/>
    </sheetView>
  </sheetViews>
  <sheetFormatPr baseColWidth="10" defaultColWidth="11.453125" defaultRowHeight="15" customHeight="1"/>
  <cols>
    <col width="17.54296875" bestFit="1" customWidth="1" min="3" max="3"/>
    <col width="12.81640625" bestFit="1" customWidth="1" min="4" max="8"/>
    <col width="12.81640625" customWidth="1" min="9" max="9"/>
    <col width="13.7265625" customWidth="1" min="10" max="10"/>
    <col width="12.7265625" customWidth="1" min="11" max="11"/>
  </cols>
  <sheetData>
    <row r="1" ht="14.5" customHeight="1"/>
    <row r="2" ht="14.5" customHeight="1">
      <c r="D2" s="12" t="inlineStr">
        <is>
          <t>IMPORT DUTIES FROM COLOMBIA</t>
        </is>
      </c>
    </row>
    <row r="3" ht="14.5" customHeight="1">
      <c r="D3" s="11" t="n">
        <v>0</v>
      </c>
      <c r="E3" s="11" t="n">
        <v>0.3</v>
      </c>
      <c r="F3" s="11" t="n">
        <v>0.5</v>
      </c>
      <c r="G3" s="14" t="n"/>
      <c r="H3" s="11" t="n">
        <v>1</v>
      </c>
      <c r="I3" s="11" t="n">
        <v>0</v>
      </c>
    </row>
    <row r="4" ht="48" customHeight="1">
      <c r="C4" s="2" t="inlineStr">
        <is>
          <t xml:space="preserve">MODEL </t>
        </is>
      </c>
      <c r="D4" s="2" t="inlineStr">
        <is>
          <t xml:space="preserve">JANUARY </t>
        </is>
      </c>
      <c r="E4" s="2" t="inlineStr">
        <is>
          <t xml:space="preserve">FEBRUARY </t>
        </is>
      </c>
      <c r="F4" s="2" t="inlineStr">
        <is>
          <t>MARCH</t>
        </is>
      </c>
      <c r="G4" s="2" t="inlineStr">
        <is>
          <t>APRIL</t>
        </is>
      </c>
      <c r="H4" s="2" t="inlineStr">
        <is>
          <t>MAY</t>
        </is>
      </c>
      <c r="I4" s="2" t="inlineStr">
        <is>
          <t>JUN</t>
        </is>
      </c>
      <c r="J4" s="3" t="inlineStr">
        <is>
          <t>PRICE VAR. % JAN-MAY</t>
        </is>
      </c>
      <c r="K4" s="3" t="inlineStr">
        <is>
          <t>PRICE VAR. % JAN-JUN</t>
        </is>
      </c>
      <c r="AT4" s="2" t="inlineStr">
        <is>
          <t>JUN</t>
        </is>
      </c>
    </row>
    <row r="5" ht="14.5" customHeight="1">
      <c r="C5" s="4" t="inlineStr">
        <is>
          <t>XZU640L-WKMLK3</t>
        </is>
      </c>
      <c r="D5" s="10" t="n">
        <v>32590</v>
      </c>
      <c r="E5" s="10" t="n">
        <v>32590</v>
      </c>
      <c r="F5" s="10">
        <f>+G5</f>
        <v/>
      </c>
      <c r="G5" s="10" t="n">
        <v>35990</v>
      </c>
      <c r="H5" s="10" t="n">
        <v>35990</v>
      </c>
      <c r="I5" s="10" t="n">
        <v>35990</v>
      </c>
      <c r="J5" s="6">
        <f>+H5/D5-1</f>
        <v/>
      </c>
      <c r="K5" s="6">
        <f>+I5/D5-1</f>
        <v/>
      </c>
      <c r="AT5" s="10" t="n">
        <v>35990</v>
      </c>
    </row>
    <row r="6" ht="14.5" customHeight="1">
      <c r="C6" s="7" t="inlineStr">
        <is>
          <t>XZlJ650L-WKMML3</t>
        </is>
      </c>
      <c r="D6" s="8" t="n">
        <v>36990</v>
      </c>
      <c r="E6" s="8" t="n">
        <v>39990</v>
      </c>
      <c r="F6" s="8" t="n">
        <v>39990</v>
      </c>
      <c r="G6" s="8" t="n">
        <v>40990</v>
      </c>
      <c r="H6" s="8" t="n">
        <v>40990</v>
      </c>
      <c r="I6" s="8" t="n">
        <v>40990</v>
      </c>
      <c r="J6" s="9">
        <f>(H6-D6)/D6</f>
        <v/>
      </c>
      <c r="K6" s="9">
        <f>+I6/D6-1</f>
        <v/>
      </c>
      <c r="AT6" s="8" t="n">
        <v>40990</v>
      </c>
    </row>
    <row r="7" ht="14.5" customHeight="1">
      <c r="C7" s="4" t="inlineStr">
        <is>
          <t>XZU710L-WBFQL3</t>
        </is>
      </c>
      <c r="D7" s="10" t="n">
        <v>39290</v>
      </c>
      <c r="E7" s="10" t="n">
        <v>39290</v>
      </c>
      <c r="F7" s="10">
        <f>+G7</f>
        <v/>
      </c>
      <c r="G7" s="10" t="n">
        <v>43990</v>
      </c>
      <c r="H7" s="10" t="n">
        <v>43990</v>
      </c>
      <c r="I7" s="10" t="n">
        <v>43490</v>
      </c>
      <c r="J7" s="6">
        <f>(H7-D7)/D7</f>
        <v/>
      </c>
      <c r="K7" s="6">
        <f>+I7/D7-1</f>
        <v/>
      </c>
      <c r="AT7" s="10" t="n">
        <v>43490</v>
      </c>
    </row>
    <row r="8" ht="14.5" customHeight="1">
      <c r="C8" s="4" t="inlineStr">
        <is>
          <t>XZU710L-WKFQL3</t>
        </is>
      </c>
      <c r="D8" s="10" t="n">
        <v>41990</v>
      </c>
      <c r="E8" s="10" t="n">
        <v>41990</v>
      </c>
      <c r="F8" s="10">
        <f>+G8</f>
        <v/>
      </c>
      <c r="G8" s="10" t="n">
        <v>46490</v>
      </c>
      <c r="H8" s="10" t="n">
        <v>46490</v>
      </c>
      <c r="I8" s="10" t="n">
        <v>46490</v>
      </c>
      <c r="J8" s="6">
        <f>(H8-D8)/D8</f>
        <v/>
      </c>
      <c r="K8" s="6">
        <f>+I8/D8-1</f>
        <v/>
      </c>
      <c r="AT8" s="10" t="n">
        <v>46490</v>
      </c>
    </row>
    <row r="9" ht="14.5" customHeight="1">
      <c r="C9" s="4" t="inlineStr">
        <is>
          <t>XZU720L-WKFRL3</t>
        </is>
      </c>
      <c r="D9" s="10" t="n">
        <v>45490</v>
      </c>
      <c r="E9" s="10" t="n">
        <v>45490</v>
      </c>
      <c r="F9" s="10">
        <f>+G9</f>
        <v/>
      </c>
      <c r="G9" s="10" t="n">
        <v>50290</v>
      </c>
      <c r="H9" s="10" t="n">
        <v>50290</v>
      </c>
      <c r="I9" s="10" t="n">
        <v>50290</v>
      </c>
      <c r="J9" s="6">
        <f>(H9-D9)/D9</f>
        <v/>
      </c>
      <c r="K9" s="6">
        <f>+I9/D9-1</f>
        <v/>
      </c>
      <c r="AT9" s="10" t="n">
        <v>50290</v>
      </c>
    </row>
    <row r="10" ht="14.5" customHeight="1">
      <c r="C10" s="7" t="inlineStr">
        <is>
          <t>FC9JL7Z-BB9HFAA</t>
        </is>
      </c>
      <c r="D10" s="8" t="n">
        <v>58990</v>
      </c>
      <c r="E10" s="8" t="n">
        <v>60990</v>
      </c>
      <c r="F10" s="8" t="n">
        <v>60990</v>
      </c>
      <c r="G10" s="8" t="n">
        <v>64990</v>
      </c>
      <c r="H10" s="8" t="n">
        <v>64990</v>
      </c>
      <c r="I10" s="8" t="n">
        <v>64990</v>
      </c>
      <c r="J10" s="9">
        <f>(H10-D10)/D10</f>
        <v/>
      </c>
      <c r="K10" s="9">
        <f>+I10/D10-1</f>
        <v/>
      </c>
      <c r="AT10" s="8" t="n">
        <v>64990</v>
      </c>
    </row>
    <row r="11" ht="14.5" customHeight="1">
      <c r="C11" s="4" t="inlineStr">
        <is>
          <t>FC9JJ7A-BBAHFAA</t>
        </is>
      </c>
      <c r="D11" s="10" t="n">
        <v>64890</v>
      </c>
      <c r="E11" s="10" t="n">
        <v>64890</v>
      </c>
      <c r="F11" s="10">
        <f>+G11</f>
        <v/>
      </c>
      <c r="G11" s="10" t="n">
        <v>71590</v>
      </c>
      <c r="H11" s="10" t="n">
        <v>71590</v>
      </c>
      <c r="I11" s="10" t="n">
        <v>71590</v>
      </c>
      <c r="J11" s="6">
        <f>(H11-D11)/D11</f>
        <v/>
      </c>
      <c r="K11" s="6">
        <f>+I11/D11-1</f>
        <v/>
      </c>
      <c r="AT11" s="10" t="n">
        <v>71590</v>
      </c>
    </row>
    <row r="12" ht="14.5" customHeight="1">
      <c r="C12" s="4" t="inlineStr">
        <is>
          <t>AK8JRSA</t>
        </is>
      </c>
      <c r="D12" s="10" t="n">
        <v>74490</v>
      </c>
      <c r="E12" s="10" t="n">
        <v>74490</v>
      </c>
      <c r="F12" s="10" t="n">
        <v>74490</v>
      </c>
      <c r="G12" s="10" t="n">
        <v>77490</v>
      </c>
      <c r="H12" s="10" t="n">
        <v>77490</v>
      </c>
      <c r="I12" s="10" t="n">
        <v>77490</v>
      </c>
      <c r="J12" s="6">
        <f>(H12-D12)/D12</f>
        <v/>
      </c>
      <c r="K12" s="6">
        <f>+I12/D12-1</f>
        <v/>
      </c>
      <c r="AT12" s="10" t="n">
        <v>77490</v>
      </c>
    </row>
    <row r="13" ht="14.5" customHeight="1">
      <c r="C13" s="7" t="inlineStr">
        <is>
          <t>GD8JL7A-EBCHF</t>
        </is>
      </c>
      <c r="D13" s="8" t="n">
        <v>83490</v>
      </c>
      <c r="E13" s="8" t="n">
        <v>89490</v>
      </c>
      <c r="F13" s="8" t="n">
        <v>89490</v>
      </c>
      <c r="G13" s="8" t="n">
        <v>91490</v>
      </c>
      <c r="H13" s="8" t="n">
        <v>91490</v>
      </c>
      <c r="I13" s="8" t="n">
        <v>91490</v>
      </c>
      <c r="J13" s="9">
        <f>(H13-D13)/D13</f>
        <v/>
      </c>
      <c r="K13" s="9">
        <f>+I13/D13-1</f>
        <v/>
      </c>
      <c r="AT13" s="8" t="n">
        <v>91490</v>
      </c>
    </row>
    <row r="14" ht="14.5" customHeight="1">
      <c r="C14" s="4" t="inlineStr">
        <is>
          <t>GH8JM7A-XG3</t>
        </is>
      </c>
      <c r="D14" s="10" t="n">
        <v>104990</v>
      </c>
      <c r="E14" s="10" t="n">
        <v>104990</v>
      </c>
      <c r="F14" s="10">
        <f>+G14</f>
        <v/>
      </c>
      <c r="G14" s="10" t="n">
        <v>114990</v>
      </c>
      <c r="H14" s="10" t="n">
        <v>114990</v>
      </c>
      <c r="I14" s="10" t="n">
        <v>114990</v>
      </c>
      <c r="J14" s="6">
        <f>(H14-D14)/D14</f>
        <v/>
      </c>
      <c r="K14" s="6">
        <f>+I14/D14-1</f>
        <v/>
      </c>
      <c r="AT14" s="10" t="n">
        <v>114990</v>
      </c>
    </row>
    <row r="15" ht="14.5" customHeight="1">
      <c r="C15" s="7" t="inlineStr">
        <is>
          <t>GH8JF7D - XG3</t>
        </is>
      </c>
      <c r="D15" s="8" t="n">
        <v>106990</v>
      </c>
      <c r="E15" s="8" t="n">
        <v>110990</v>
      </c>
      <c r="F15" s="8" t="n">
        <v>110990</v>
      </c>
      <c r="G15" s="8" t="n">
        <v>116990</v>
      </c>
      <c r="H15" s="8" t="n">
        <v>116990</v>
      </c>
      <c r="I15" s="8" t="n">
        <v>116990</v>
      </c>
      <c r="J15" s="9">
        <f>(H15-D15)/D15</f>
        <v/>
      </c>
      <c r="K15" s="9">
        <f>+I15/D15-1</f>
        <v/>
      </c>
      <c r="AT15" s="8" t="n">
        <v>116990</v>
      </c>
    </row>
    <row r="16" ht="14.5" customHeight="1">
      <c r="C16" s="7" t="inlineStr">
        <is>
          <t>RM1ESSU-XSE</t>
        </is>
      </c>
      <c r="D16" s="8" t="n">
        <v>116590</v>
      </c>
      <c r="E16" s="8" t="n">
        <v>120290</v>
      </c>
      <c r="F16" s="8" t="n">
        <v>120290</v>
      </c>
      <c r="G16" s="8" t="n">
        <v>129990</v>
      </c>
      <c r="H16" s="8" t="n">
        <v>129990</v>
      </c>
      <c r="I16" s="8" t="n">
        <v>129990</v>
      </c>
      <c r="J16" s="9">
        <f>(H16-D16)/D16</f>
        <v/>
      </c>
      <c r="K16" s="9">
        <f>+I16/D16-1</f>
        <v/>
      </c>
      <c r="AT16" s="8" t="n">
        <v>129990</v>
      </c>
    </row>
    <row r="17" ht="14.5" customHeight="1">
      <c r="C17" s="4" t="inlineStr">
        <is>
          <t>SS1EKSA-VAX</t>
        </is>
      </c>
      <c r="D17" s="10" t="n">
        <v>123990</v>
      </c>
      <c r="E17" s="10" t="n">
        <v>123990</v>
      </c>
      <c r="F17" s="10" t="n">
        <v>123990</v>
      </c>
      <c r="G17" s="10" t="n">
        <v>125990</v>
      </c>
      <c r="H17" s="10" t="n">
        <v>125990</v>
      </c>
      <c r="I17" s="10" t="n">
        <v>127990</v>
      </c>
      <c r="J17" s="6">
        <f>(H17-D17)/D17</f>
        <v/>
      </c>
      <c r="K17" s="6">
        <f>+I17/D17-1</f>
        <v/>
      </c>
      <c r="AT17" s="10" t="n">
        <v>127990</v>
      </c>
    </row>
    <row r="18" ht="14.5" customHeight="1">
      <c r="C18" s="4" t="inlineStr">
        <is>
          <t>FM2PR7A-SG3</t>
        </is>
      </c>
      <c r="D18" s="10" t="n">
        <v>136490</v>
      </c>
      <c r="E18" s="10" t="n">
        <v>136490</v>
      </c>
      <c r="F18" s="10">
        <f>+G18</f>
        <v/>
      </c>
      <c r="G18" s="10" t="n">
        <v>147990</v>
      </c>
      <c r="H18" s="10" t="n">
        <v>147990</v>
      </c>
      <c r="I18" s="10" t="n">
        <v>147990</v>
      </c>
      <c r="J18" s="6">
        <f>(H18-D18)/D18</f>
        <v/>
      </c>
      <c r="K18" s="6">
        <f>+I18/D18-1</f>
        <v/>
      </c>
      <c r="AT18" s="10" t="n">
        <v>147990</v>
      </c>
    </row>
    <row r="19" ht="14.5" customHeight="1">
      <c r="C19" s="7" t="inlineStr">
        <is>
          <t>FM2PL7D-SG3</t>
        </is>
      </c>
      <c r="D19" s="8" t="n">
        <v>136490</v>
      </c>
      <c r="E19" s="8" t="n">
        <v>140590</v>
      </c>
      <c r="F19" s="8" t="n">
        <v>140590</v>
      </c>
      <c r="G19" s="8" t="n">
        <v>147990</v>
      </c>
      <c r="H19" s="8" t="n">
        <v>147990</v>
      </c>
      <c r="I19" s="8" t="n">
        <v>147990</v>
      </c>
      <c r="J19" s="9">
        <f>(H19-D19)/D19</f>
        <v/>
      </c>
      <c r="K19" s="9">
        <f>+I19/D19-1</f>
        <v/>
      </c>
      <c r="AT19" s="8" t="n">
        <v>147990</v>
      </c>
    </row>
    <row r="20" ht="14.5" customHeight="1">
      <c r="C20" s="4" t="inlineStr">
        <is>
          <t>FS1ELSD-MAX</t>
        </is>
      </c>
      <c r="D20" s="10" t="n">
        <v>136990</v>
      </c>
      <c r="E20" s="10" t="n">
        <v>136990</v>
      </c>
      <c r="F20" s="10" t="n">
        <v>136990</v>
      </c>
      <c r="G20" s="10" t="n">
        <v>136990</v>
      </c>
      <c r="H20" s="10" t="n">
        <v>136990</v>
      </c>
      <c r="I20" s="10" t="n">
        <v>136990</v>
      </c>
      <c r="J20" s="6">
        <f>(H20-D20)/D20</f>
        <v/>
      </c>
      <c r="K20" s="6">
        <f>+I20/D20-1</f>
        <v/>
      </c>
      <c r="AT20" s="10" t="n">
        <v>136990</v>
      </c>
    </row>
    <row r="21" ht="14.5" customHeight="1"/>
  </sheetData>
  <mergeCells count="2">
    <mergeCell ref="F3:G3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Mateo Cadena</dc:creator>
  <dcterms:created xmlns:dcterms="http://purl.org/dc/terms/" xmlns:xsi="http://www.w3.org/2001/XMLSchema-instance" xsi:type="dcterms:W3CDTF">2026-06-16T16:21:47Z</dcterms:created>
  <dcterms:modified xmlns:dcterms="http://purl.org/dc/terms/" xmlns:xsi="http://www.w3.org/2001/XMLSchema-instance" xsi:type="dcterms:W3CDTF">2026-06-18T18:39:51Z</dcterms:modified>
  <cp:lastModifiedBy>Dilan Pulupa</cp:lastModifiedBy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1-Internal Use</vt:lpwstr>
  </op:property>
</op:Properties>
</file>